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\bolt-hub\"/>
    </mc:Choice>
  </mc:AlternateContent>
  <xr:revisionPtr revIDLastSave="0" documentId="13_ncr:1_{360D8B1D-9A40-42E8-ABA4-EB6264C1C0B2}" xr6:coauthVersionLast="47" xr6:coauthVersionMax="47" xr10:uidLastSave="{00000000-0000-0000-0000-000000000000}"/>
  <bookViews>
    <workbookView xWindow="-33765" yWindow="-21720" windowWidth="51840" windowHeight="21120" xr2:uid="{A613C9E8-9111-426C-AD0D-0425AFDE0B97}"/>
  </bookViews>
  <sheets>
    <sheet name="Sheet1" sheetId="1" r:id="rId1"/>
    <sheet name="markets" sheetId="3" r:id="rId2"/>
    <sheet name="market_&amp;_vol_surface" sheetId="2" r:id="rId3"/>
  </sheets>
  <definedNames>
    <definedName name="_xlnm._FilterDatabase" localSheetId="1" hidden="1">markets!$A$1:$H$201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B44" i="1"/>
  <c r="B45" i="1" s="1"/>
  <c r="B46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43" i="1"/>
  <c r="B42" i="1"/>
  <c r="Q7" i="1" a="1"/>
  <c r="Q7" i="1" l="1"/>
  <c r="E1" i="1"/>
  <c r="C5" i="1"/>
  <c r="Q6" i="1" a="1"/>
  <c r="B2" i="1" a="1"/>
  <c r="C2" i="1" a="1"/>
  <c r="A18" i="1" a="1"/>
  <c r="X2" i="1" a="1"/>
  <c r="A11" i="1" a="1"/>
  <c r="A1" i="3" a="1"/>
  <c r="B2" i="1" l="1"/>
  <c r="C2" i="1"/>
  <c r="A18" i="1"/>
  <c r="X2" i="1"/>
  <c r="C6" i="1"/>
  <c r="A11" i="1"/>
  <c r="Q6" i="1"/>
  <c r="A1" i="3"/>
  <c r="B5" i="1"/>
  <c r="B6" i="1" s="1"/>
  <c r="L21" i="1" a="1"/>
  <c r="M14" i="1" a="1"/>
  <c r="K14" i="1" a="1"/>
  <c r="L23" i="1" a="1"/>
  <c r="H36" i="1" a="1"/>
  <c r="L25" i="1" a="1"/>
  <c r="E36" i="1" a="1"/>
  <c r="M13" i="1" a="1"/>
  <c r="L19" i="1" a="1"/>
  <c r="L22" i="1" a="1"/>
  <c r="K13" i="1" a="1"/>
  <c r="F36" i="1" a="1"/>
  <c r="L26" i="1" a="1"/>
  <c r="K12" i="1" a="1"/>
  <c r="G36" i="1" a="1"/>
  <c r="L24" i="1" a="1"/>
  <c r="M12" i="1" a="1"/>
  <c r="D36" i="1" a="1"/>
  <c r="L20" i="1" a="1"/>
  <c r="L26" i="1" l="1"/>
  <c r="L25" i="1"/>
  <c r="F36" i="1"/>
  <c r="H36" i="1"/>
  <c r="G36" i="1"/>
  <c r="E36" i="1"/>
  <c r="D36" i="1"/>
  <c r="L19" i="1"/>
  <c r="L22" i="1"/>
  <c r="L23" i="1"/>
  <c r="L24" i="1"/>
  <c r="L21" i="1"/>
  <c r="L20" i="1"/>
  <c r="M14" i="1"/>
  <c r="M13" i="1"/>
  <c r="M12" i="1"/>
  <c r="K13" i="1"/>
  <c r="K14" i="1"/>
  <c r="K12" i="1"/>
  <c r="G2" i="2"/>
  <c r="C57" i="1" a="1"/>
  <c r="C48" i="1" a="1"/>
  <c r="J24" i="1" a="1"/>
  <c r="C49" i="1" a="1"/>
  <c r="J25" i="1" a="1"/>
  <c r="C62" i="1" a="1"/>
  <c r="C51" i="1" a="1"/>
  <c r="C65" i="1" a="1"/>
  <c r="C46" i="1" a="1"/>
  <c r="J19" i="1" a="1"/>
  <c r="C53" i="1" a="1"/>
  <c r="C59" i="1" a="1"/>
  <c r="C55" i="1" a="1"/>
  <c r="C43" i="1" a="1"/>
  <c r="C45" i="1" a="1"/>
  <c r="C58" i="1" a="1"/>
  <c r="C61" i="1" a="1"/>
  <c r="C50" i="1" a="1"/>
  <c r="C52" i="1" a="1"/>
  <c r="C44" i="1" a="1"/>
  <c r="C60" i="1" a="1"/>
  <c r="C64" i="1" a="1"/>
  <c r="J22" i="1" a="1"/>
  <c r="C56" i="1" a="1"/>
  <c r="J21" i="1" a="1"/>
  <c r="C66" i="1" a="1"/>
  <c r="C54" i="1" a="1"/>
  <c r="C47" i="1" a="1"/>
  <c r="J26" i="1" a="1"/>
  <c r="J20" i="1" a="1"/>
  <c r="C42" i="1" a="1"/>
  <c r="C63" i="1" a="1"/>
  <c r="J23" i="1" a="1"/>
  <c r="J21" i="1" l="1"/>
  <c r="J22" i="1"/>
  <c r="J24" i="1"/>
  <c r="J23" i="1"/>
  <c r="J25" i="1"/>
  <c r="J20" i="1"/>
  <c r="J26" i="1"/>
  <c r="J19" i="1"/>
  <c r="C53" i="1"/>
  <c r="C59" i="1"/>
  <c r="C65" i="1"/>
  <c r="C63" i="1"/>
  <c r="C54" i="1"/>
  <c r="C66" i="1"/>
  <c r="C55" i="1"/>
  <c r="C61" i="1"/>
  <c r="C57" i="1"/>
  <c r="C58" i="1"/>
  <c r="C60" i="1"/>
  <c r="C64" i="1"/>
  <c r="C56" i="1"/>
  <c r="C62" i="1"/>
  <c r="C43" i="1"/>
  <c r="C49" i="1"/>
  <c r="C47" i="1"/>
  <c r="C44" i="1"/>
  <c r="C50" i="1"/>
  <c r="C52" i="1"/>
  <c r="C48" i="1"/>
  <c r="C51" i="1"/>
  <c r="C45" i="1"/>
  <c r="C46" i="1"/>
  <c r="C42" i="1"/>
  <c r="H2" i="2"/>
  <c r="I2" i="2" s="1"/>
  <c r="J2" i="2" s="1"/>
  <c r="K2" i="2" s="1"/>
  <c r="L2" i="2" s="1"/>
  <c r="M2" i="2" s="1"/>
  <c r="N2" i="2" s="1"/>
  <c r="F2" i="2"/>
  <c r="E2" i="2" s="1"/>
  <c r="D2" i="2" s="1"/>
  <c r="C2" i="2" s="1"/>
  <c r="B2" i="2" s="1"/>
  <c r="M24" i="1" a="1"/>
  <c r="M20" i="1" a="1"/>
  <c r="M23" i="1" a="1"/>
  <c r="M21" i="1" a="1"/>
  <c r="M22" i="1" a="1"/>
  <c r="K21" i="1" a="1"/>
  <c r="M26" i="1" a="1"/>
  <c r="K26" i="1" a="1"/>
  <c r="K23" i="1" a="1"/>
  <c r="K20" i="1" a="1"/>
  <c r="K19" i="1" a="1"/>
  <c r="K25" i="1" a="1"/>
  <c r="K24" i="1" a="1"/>
  <c r="M19" i="1" a="1"/>
  <c r="K22" i="1" a="1"/>
  <c r="M25" i="1" a="1"/>
  <c r="M20" i="1" l="1"/>
  <c r="N20" i="1" s="1"/>
  <c r="K20" i="1"/>
  <c r="K24" i="1"/>
  <c r="M24" i="1"/>
  <c r="N24" i="1" s="1"/>
  <c r="M21" i="1"/>
  <c r="N21" i="1" s="1"/>
  <c r="K21" i="1"/>
  <c r="K26" i="1"/>
  <c r="M26" i="1"/>
  <c r="N26" i="1" s="1"/>
  <c r="K23" i="1"/>
  <c r="M23" i="1"/>
  <c r="N23" i="1" s="1"/>
  <c r="K22" i="1"/>
  <c r="M22" i="1"/>
  <c r="N22" i="1" s="1"/>
  <c r="M25" i="1"/>
  <c r="N25" i="1" s="1"/>
  <c r="K25" i="1"/>
  <c r="K19" i="1"/>
  <c r="M19" i="1"/>
  <c r="N1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<sst xmlns="http://schemas.openxmlformats.org/spreadsheetml/2006/main" count="49" uniqueCount="39">
  <si>
    <t>ETH-USD</t>
  </si>
  <si>
    <t>Price</t>
  </si>
  <si>
    <t>ATM</t>
  </si>
  <si>
    <t>Time</t>
  </si>
  <si>
    <t>O/N</t>
  </si>
  <si>
    <t>1 W</t>
  </si>
  <si>
    <t>1 M</t>
  </si>
  <si>
    <t>6 M</t>
  </si>
  <si>
    <t>1 Y</t>
  </si>
  <si>
    <t>Yield</t>
  </si>
  <si>
    <t>Expiry</t>
  </si>
  <si>
    <t>Years to Expiry</t>
  </si>
  <si>
    <t>BTC-USD</t>
  </si>
  <si>
    <t>btc_market</t>
  </si>
  <si>
    <t>KXBTCMINY-25</t>
  </si>
  <si>
    <t>KXBTCMAXY-25</t>
  </si>
  <si>
    <t>Puts</t>
  </si>
  <si>
    <t>Calls</t>
  </si>
  <si>
    <t>vol_mark</t>
  </si>
  <si>
    <t>px</t>
  </si>
  <si>
    <t>delta</t>
  </si>
  <si>
    <t>vega</t>
  </si>
  <si>
    <t>theta</t>
  </si>
  <si>
    <t>gamma</t>
  </si>
  <si>
    <t>position</t>
  </si>
  <si>
    <t>position_delta</t>
  </si>
  <si>
    <t>25c</t>
  </si>
  <si>
    <t>25p</t>
  </si>
  <si>
    <t>5p</t>
  </si>
  <si>
    <t>btc</t>
  </si>
  <si>
    <t>5c</t>
  </si>
  <si>
    <t>strike</t>
  </si>
  <si>
    <t>delta_float</t>
  </si>
  <si>
    <t>type</t>
  </si>
  <si>
    <t>put</t>
  </si>
  <si>
    <t>call</t>
  </si>
  <si>
    <t>EOY Smile</t>
  </si>
  <si>
    <t>collateral_value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</si>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</sst>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22" fontId="0" fillId="0" borderId="0" xfId="0" applyNumberFormat="1"/>
    <xf numFmtId="9" fontId="0" fillId="0" borderId="0" xfId="0" applyNumberFormat="1"/>
    <xf numFmtId="14" fontId="0" fillId="0" borderId="0" xfId="0" applyNumberFormat="1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Sheet1!$B$42:$B$66</c:f>
              <c:numCache>
                <c:formatCode>General</c:formatCode>
                <c:ptCount val="25"/>
                <c:pt idx="0">
                  <c:v>50000</c:v>
                </c:pt>
                <c:pt idx="1">
                  <c:v>60000</c:v>
                </c:pt>
                <c:pt idx="2">
                  <c:v>70000</c:v>
                </c:pt>
                <c:pt idx="3">
                  <c:v>80000</c:v>
                </c:pt>
                <c:pt idx="4">
                  <c:v>90000</c:v>
                </c:pt>
                <c:pt idx="5">
                  <c:v>100000</c:v>
                </c:pt>
                <c:pt idx="6">
                  <c:v>110000</c:v>
                </c:pt>
                <c:pt idx="7">
                  <c:v>120000</c:v>
                </c:pt>
                <c:pt idx="8">
                  <c:v>130000</c:v>
                </c:pt>
                <c:pt idx="9">
                  <c:v>140000</c:v>
                </c:pt>
                <c:pt idx="10">
                  <c:v>150000</c:v>
                </c:pt>
                <c:pt idx="11">
                  <c:v>160000</c:v>
                </c:pt>
                <c:pt idx="12">
                  <c:v>170000</c:v>
                </c:pt>
                <c:pt idx="13">
                  <c:v>180000</c:v>
                </c:pt>
                <c:pt idx="14">
                  <c:v>190000</c:v>
                </c:pt>
                <c:pt idx="15">
                  <c:v>200000</c:v>
                </c:pt>
                <c:pt idx="16">
                  <c:v>210000</c:v>
                </c:pt>
                <c:pt idx="17">
                  <c:v>220000</c:v>
                </c:pt>
                <c:pt idx="18">
                  <c:v>230000</c:v>
                </c:pt>
                <c:pt idx="19">
                  <c:v>240000</c:v>
                </c:pt>
                <c:pt idx="20">
                  <c:v>250000</c:v>
                </c:pt>
                <c:pt idx="21">
                  <c:v>260000</c:v>
                </c:pt>
                <c:pt idx="22">
                  <c:v>270000</c:v>
                </c:pt>
                <c:pt idx="23">
                  <c:v>280000</c:v>
                </c:pt>
                <c:pt idx="24">
                  <c:v>290000</c:v>
                </c:pt>
              </c:numCache>
            </c:numRef>
          </c:xVal>
          <c:yVal>
            <c:numRef>
              <c:f>Sheet1!$C$42:$C$66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B2-4AB3-B090-8791A6905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033040"/>
        <c:axId val="1570031600"/>
      </c:scatterChart>
      <c:valAx>
        <c:axId val="157003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31600"/>
        <c:crosses val="autoZero"/>
        <c:crossBetween val="midCat"/>
      </c:valAx>
      <c:valAx>
        <c:axId val="157003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3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455838</xdr:colOff>
      <xdr:row>42</xdr:row>
      <xdr:rowOff>95250</xdr:rowOff>
    </xdr:from>
    <xdr:to>
      <xdr:col>11</xdr:col>
      <xdr:colOff>231321</xdr:colOff>
      <xdr:row>61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1178E-448A-28F5-8CD2-271D83DE7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C194-3477-4D7A-9EF5-D149A729A697}">
  <dimension ref="A1:AE66"/>
  <sheetViews>
    <sheetView showGridLines="0" tabSelected="1" zoomScale="70" zoomScaleNormal="70" workbookViewId="0">
      <selection activeCell="AT30" sqref="AT30"/>
    </sheetView>
  </sheetViews>
  <sheetFormatPr defaultRowHeight="15" x14ac:dyDescent="0.25"/>
  <cols>
    <col min="1" max="1" width="32.28515625" bestFit="1" customWidth="1"/>
    <col min="2" max="2" width="30.28515625" bestFit="1" customWidth="1"/>
    <col min="3" max="3" width="14" bestFit="1" customWidth="1"/>
    <col min="4" max="4" width="12" bestFit="1" customWidth="1"/>
    <col min="5" max="5" width="11.7109375" bestFit="1" customWidth="1"/>
    <col min="6" max="6" width="12.28515625" bestFit="1" customWidth="1"/>
    <col min="8" max="8" width="26.7109375" bestFit="1" customWidth="1"/>
    <col min="9" max="9" width="16.42578125" bestFit="1" customWidth="1"/>
    <col min="10" max="10" width="14" bestFit="1" customWidth="1"/>
    <col min="13" max="13" width="10.85546875" bestFit="1" customWidth="1"/>
    <col min="14" max="14" width="14.5703125" bestFit="1" customWidth="1"/>
    <col min="17" max="17" width="32.28515625" bestFit="1" customWidth="1"/>
    <col min="18" max="18" width="13.7109375" bestFit="1" customWidth="1"/>
    <col min="19" max="19" width="8.28515625" bestFit="1" customWidth="1"/>
    <col min="20" max="20" width="16.140625" bestFit="1" customWidth="1"/>
    <col min="21" max="21" width="11.7109375" bestFit="1" customWidth="1"/>
    <col min="26" max="26" width="8.7109375" bestFit="1" customWidth="1"/>
    <col min="27" max="27" width="17.85546875" bestFit="1" customWidth="1"/>
    <col min="28" max="28" width="12.85546875" bestFit="1" customWidth="1"/>
  </cols>
  <sheetData>
    <row r="1" spans="1:31" x14ac:dyDescent="0.25">
      <c r="B1" s="1" t="s">
        <v>0</v>
      </c>
      <c r="C1" s="1" t="s">
        <v>12</v>
      </c>
      <c r="E1" s="4">
        <f>DATE(2025,12,31)</f>
        <v>46022</v>
      </c>
    </row>
    <row r="2" spans="1:31" x14ac:dyDescent="0.25">
      <c r="A2" t="s">
        <v>1</v>
      </c>
      <c r="B2" s="1" t="e" cm="1">
        <f t="array" aca="1" ref="B2" ca="1">_xll.get_stock_price_ticking(B1)</f>
        <v>#VALUE!</v>
      </c>
      <c r="C2" s="1" t="e" cm="1">
        <f t="array" aca="1" ref="C2" ca="1">_xll.get_stock_price_ticking(C1)</f>
        <v>#VALUE!</v>
      </c>
      <c r="D2" s="1"/>
      <c r="X2" t="str" cm="1">
        <f t="array" ref="X2:AE22">_xll.get_positions()</f>
        <v>ticker</v>
      </c>
      <c r="Y2" t="str">
        <v>total_traded</v>
      </c>
      <c r="Z2" t="str">
        <v>position</v>
      </c>
      <c r="AA2" t="str">
        <v>market_exposure</v>
      </c>
      <c r="AB2" t="str">
        <v>realized_pnl</v>
      </c>
      <c r="AC2" t="str">
        <v>resting_orders_count</v>
      </c>
      <c r="AD2" t="str">
        <v>fees_paid</v>
      </c>
      <c r="AE2" t="str">
        <v>last_updated_ts</v>
      </c>
    </row>
    <row r="3" spans="1:31" x14ac:dyDescent="0.25">
      <c r="A3" t="s">
        <v>9</v>
      </c>
      <c r="B3" s="3">
        <v>0.05</v>
      </c>
      <c r="C3" s="3">
        <v>0.05</v>
      </c>
      <c r="X3" t="str">
        <v>KXBTCMAXY-25-DEC31-149999.99</v>
      </c>
      <c r="Y3">
        <v>920705</v>
      </c>
      <c r="Z3">
        <v>1199</v>
      </c>
      <c r="AA3">
        <v>30074</v>
      </c>
      <c r="AB3">
        <v>-7230</v>
      </c>
      <c r="AC3">
        <v>0</v>
      </c>
      <c r="AD3">
        <v>2247</v>
      </c>
      <c r="AE3" t="str">
        <v>2025-04-07T20:14:28.50842Z</v>
      </c>
    </row>
    <row r="4" spans="1:31" x14ac:dyDescent="0.25">
      <c r="A4" t="s">
        <v>10</v>
      </c>
      <c r="B4">
        <v>0.5</v>
      </c>
      <c r="C4">
        <v>0.5</v>
      </c>
      <c r="X4" t="str">
        <v>KXBTCMAXY-25-DEC31-159999.99</v>
      </c>
      <c r="Y4">
        <v>39232</v>
      </c>
      <c r="Z4">
        <v>500</v>
      </c>
      <c r="AA4">
        <v>12358</v>
      </c>
      <c r="AB4">
        <v>1626</v>
      </c>
      <c r="AC4">
        <v>500</v>
      </c>
      <c r="AD4">
        <v>772</v>
      </c>
      <c r="AE4" t="str">
        <v>2025-03-16T03:39:38.98903Z</v>
      </c>
    </row>
    <row r="5" spans="1:31" x14ac:dyDescent="0.25">
      <c r="A5" t="s">
        <v>3</v>
      </c>
      <c r="B5" s="2">
        <f ca="1">NOW()</f>
        <v>45760.082087037037</v>
      </c>
      <c r="C5" s="2">
        <f ca="1">NOW()</f>
        <v>45760.082087037037</v>
      </c>
      <c r="X5" t="str">
        <v>KXBTCMAXY-25-DEC31-499999.99</v>
      </c>
      <c r="Y5">
        <v>198044</v>
      </c>
      <c r="Z5">
        <v>-2052</v>
      </c>
      <c r="AA5">
        <v>198044</v>
      </c>
      <c r="AB5">
        <v>0</v>
      </c>
      <c r="AC5">
        <v>0</v>
      </c>
      <c r="AD5">
        <v>216</v>
      </c>
      <c r="AE5" t="str">
        <v>2025-03-21T13:28:24.139424Z</v>
      </c>
    </row>
    <row r="6" spans="1:31" x14ac:dyDescent="0.25">
      <c r="A6" t="s">
        <v>11</v>
      </c>
      <c r="B6">
        <f ca="1">($E$1-B5)/365</f>
        <v>0.71758332318619966</v>
      </c>
      <c r="C6">
        <f ca="1">($E$1-C5)/365</f>
        <v>0.71758332318619966</v>
      </c>
      <c r="Q6" t="str" cm="1">
        <f t="array" ref="Q6">_xll.get_cwd()</f>
        <v>C:\Users\jacob\bolt-hub</v>
      </c>
      <c r="X6" t="str">
        <v>KXBTCMAXY-25-DEC31-199999.99</v>
      </c>
      <c r="Y6">
        <v>1787392</v>
      </c>
      <c r="Z6">
        <v>-2152</v>
      </c>
      <c r="AA6">
        <v>188966</v>
      </c>
      <c r="AB6">
        <v>57474</v>
      </c>
      <c r="AC6">
        <v>2152</v>
      </c>
      <c r="AD6">
        <v>3007</v>
      </c>
      <c r="AE6" t="str">
        <v>2025-04-09T01:04:29.33821Z</v>
      </c>
    </row>
    <row r="7" spans="1:31" x14ac:dyDescent="0.25">
      <c r="Q7" cm="1">
        <f t="array" ref="Q7">_xll.get_balance()</f>
        <v>632.75</v>
      </c>
      <c r="X7" t="str">
        <v>KXBTCMAXY-25-DEC31-124999.99</v>
      </c>
      <c r="Y7">
        <v>679762</v>
      </c>
      <c r="Z7">
        <v>1</v>
      </c>
      <c r="AA7">
        <v>36</v>
      </c>
      <c r="AB7">
        <v>25474</v>
      </c>
      <c r="AC7">
        <v>1000</v>
      </c>
      <c r="AD7">
        <v>3640</v>
      </c>
      <c r="AE7" t="str">
        <v>2025-04-12T22:04:01.23325Z</v>
      </c>
    </row>
    <row r="8" spans="1:31" x14ac:dyDescent="0.25">
      <c r="X8" t="str">
        <v>KXBTCMAXY-25-DEC31-179999.99</v>
      </c>
      <c r="Y8">
        <v>238013</v>
      </c>
      <c r="Z8">
        <v>543</v>
      </c>
      <c r="AA8">
        <v>7034</v>
      </c>
      <c r="AB8">
        <v>-3478</v>
      </c>
      <c r="AC8">
        <v>543</v>
      </c>
      <c r="AD8">
        <v>504</v>
      </c>
      <c r="AE8" t="str">
        <v>2025-04-07T02:14:02.61871Z</v>
      </c>
    </row>
    <row r="9" spans="1:31" x14ac:dyDescent="0.25">
      <c r="X9" t="str">
        <v>KXBTCMAXY-25-DEC31-299999.99</v>
      </c>
      <c r="Y9">
        <v>564223</v>
      </c>
      <c r="Z9">
        <v>-5780</v>
      </c>
      <c r="AA9">
        <v>548509</v>
      </c>
      <c r="AB9">
        <v>186</v>
      </c>
      <c r="AC9">
        <v>3445</v>
      </c>
      <c r="AD9">
        <v>1128</v>
      </c>
      <c r="AE9" t="str">
        <v>2025-04-12T17:57:55.053573Z</v>
      </c>
    </row>
    <row r="10" spans="1:31" x14ac:dyDescent="0.25">
      <c r="A10" t="s">
        <v>16</v>
      </c>
      <c r="B10" t="s">
        <v>14</v>
      </c>
      <c r="X10" t="str">
        <v>KXBTCMAXY-25-DEC31-249999.99</v>
      </c>
      <c r="Y10">
        <v>873424</v>
      </c>
      <c r="Z10">
        <v>-4539</v>
      </c>
      <c r="AA10">
        <v>420988</v>
      </c>
      <c r="AB10">
        <v>17664</v>
      </c>
      <c r="AC10">
        <v>4500</v>
      </c>
      <c r="AD10">
        <v>2582</v>
      </c>
      <c r="AE10" t="str">
        <v>2025-04-09T01:05:01.757685Z</v>
      </c>
    </row>
    <row r="11" spans="1:31" x14ac:dyDescent="0.25">
      <c r="A11" t="str" cm="1">
        <f t="array" ref="A11:I14">_xll.get_event_markets(B10)</f>
        <v>ticker</v>
      </c>
      <c r="B11" t="str">
        <v>subtitle</v>
      </c>
      <c r="C11" t="str">
        <v>close_time</v>
      </c>
      <c r="D11" t="str">
        <v>yes_bid</v>
      </c>
      <c r="E11" t="str">
        <v>yes_ask</v>
      </c>
      <c r="F11" t="str">
        <v>last_price</v>
      </c>
      <c r="G11" t="str">
        <v>volume_24h</v>
      </c>
      <c r="H11" t="str">
        <v>strike_type</v>
      </c>
      <c r="I11" t="str">
        <v>cap_strike</v>
      </c>
      <c r="J11" t="s">
        <v>18</v>
      </c>
      <c r="K11" t="s">
        <v>19</v>
      </c>
      <c r="L11" t="s">
        <v>24</v>
      </c>
      <c r="M11" t="s">
        <v>20</v>
      </c>
      <c r="O11" t="s">
        <v>21</v>
      </c>
      <c r="P11" t="s">
        <v>22</v>
      </c>
      <c r="Q11" t="s">
        <v>23</v>
      </c>
      <c r="X11" t="str">
        <v>KXGREENLAND-29</v>
      </c>
      <c r="Y11">
        <v>913201</v>
      </c>
      <c r="Z11">
        <v>-1955</v>
      </c>
      <c r="AA11">
        <v>141219</v>
      </c>
      <c r="AB11">
        <v>-4881</v>
      </c>
      <c r="AC11">
        <v>1841</v>
      </c>
      <c r="AD11">
        <v>1331</v>
      </c>
      <c r="AE11" t="str">
        <v>2025-04-12T13:36:11.493404Z</v>
      </c>
    </row>
    <row r="12" spans="1:31" x14ac:dyDescent="0.25">
      <c r="A12" t="str">
        <v>KXBTCMINY-25-DEC31-70000</v>
      </c>
      <c r="B12" t="str">
        <v>$70,000.01 or above</v>
      </c>
      <c r="C12" t="str">
        <v>2026-01-01T04:59:00Z</v>
      </c>
      <c r="D12">
        <v>51</v>
      </c>
      <c r="E12">
        <v>56</v>
      </c>
      <c r="F12">
        <v>50</v>
      </c>
      <c r="G12">
        <v>1353</v>
      </c>
      <c r="H12" t="str">
        <v>less</v>
      </c>
      <c r="I12">
        <v>70000</v>
      </c>
      <c r="J12">
        <v>1</v>
      </c>
      <c r="K12" t="e" cm="1">
        <f t="array" aca="1" ref="K12" ca="1">_xll.price_one_touch($C$2,I12,J12,$C$3,$C$6)</f>
        <v>#VALUE!</v>
      </c>
      <c r="M12" t="e" cm="1">
        <f t="array" aca="1" ref="M12" ca="1">_xll.one_touch_delta($C$2,I12,J12,$C$3,$C$6)</f>
        <v>#VALUE!</v>
      </c>
      <c r="X12" t="str">
        <v>KXH1B-29</v>
      </c>
      <c r="Y12">
        <v>323266</v>
      </c>
      <c r="Z12">
        <v>-234</v>
      </c>
      <c r="AA12">
        <v>11325</v>
      </c>
      <c r="AB12">
        <v>5559</v>
      </c>
      <c r="AC12">
        <v>215</v>
      </c>
      <c r="AD12">
        <v>0</v>
      </c>
      <c r="AE12" t="str">
        <v>2025-04-12T05:46:31.43372Z</v>
      </c>
    </row>
    <row r="13" spans="1:31" x14ac:dyDescent="0.25">
      <c r="A13" t="str">
        <v>KXBTCMINY-25-DEC31-60000</v>
      </c>
      <c r="B13" t="str">
        <v>$60,000.01 or above</v>
      </c>
      <c r="C13" t="str">
        <v>2026-01-01T04:59:00Z</v>
      </c>
      <c r="D13">
        <v>33</v>
      </c>
      <c r="E13">
        <v>34</v>
      </c>
      <c r="F13">
        <v>34</v>
      </c>
      <c r="G13">
        <v>560</v>
      </c>
      <c r="H13" t="str">
        <v>less</v>
      </c>
      <c r="I13">
        <v>60000</v>
      </c>
      <c r="J13">
        <v>1</v>
      </c>
      <c r="K13" t="e" cm="1">
        <f t="array" aca="1" ref="K13" ca="1">_xll.price_one_touch($C$2,I13,J13,$C$3,$C$6)</f>
        <v>#VALUE!</v>
      </c>
      <c r="M13" t="e" cm="1">
        <f t="array" aca="1" ref="M13" ca="1">_xll.one_touch_delta($C$2,I13,J13,$C$3,$C$6)</f>
        <v>#VALUE!</v>
      </c>
      <c r="X13" t="str">
        <v>KXCANADAPM-45-L</v>
      </c>
      <c r="Y13">
        <v>3479711</v>
      </c>
      <c r="Z13">
        <v>-7000</v>
      </c>
      <c r="AA13">
        <v>251557</v>
      </c>
      <c r="AB13">
        <v>-205253</v>
      </c>
      <c r="AC13">
        <v>4000</v>
      </c>
      <c r="AD13">
        <v>12724</v>
      </c>
      <c r="AE13" t="str">
        <v>2025-04-10T12:09:54.480709Z</v>
      </c>
    </row>
    <row r="14" spans="1:31" x14ac:dyDescent="0.25">
      <c r="A14" t="str">
        <v>KXBTCMINY-25-DEC31-50000</v>
      </c>
      <c r="B14" t="str">
        <v>$50,000.01 or above</v>
      </c>
      <c r="C14" t="str">
        <v>2026-01-01T04:59:00Z</v>
      </c>
      <c r="D14">
        <v>19</v>
      </c>
      <c r="E14">
        <v>23</v>
      </c>
      <c r="F14">
        <v>17</v>
      </c>
      <c r="G14">
        <v>1571</v>
      </c>
      <c r="H14" t="str">
        <v>less</v>
      </c>
      <c r="I14">
        <v>50000</v>
      </c>
      <c r="J14">
        <v>1</v>
      </c>
      <c r="K14" t="e" cm="1">
        <f t="array" aca="1" ref="K14" ca="1">_xll.price_one_touch($C$2,I14,J14,$C$3,$C$6)</f>
        <v>#VALUE!</v>
      </c>
      <c r="M14" t="e" cm="1">
        <f t="array" aca="1" ref="M14" ca="1">_xll.one_touch_delta($C$2,I14,J14,$C$3,$C$6)</f>
        <v>#VALUE!</v>
      </c>
      <c r="X14" t="str">
        <v>KXCANADAPM-45-C</v>
      </c>
      <c r="Y14">
        <v>2665960</v>
      </c>
      <c r="Z14">
        <v>-10991</v>
      </c>
      <c r="AA14">
        <v>727164</v>
      </c>
      <c r="AB14">
        <v>166704</v>
      </c>
      <c r="AC14">
        <v>10764</v>
      </c>
      <c r="AD14">
        <v>15127</v>
      </c>
      <c r="AE14" t="str">
        <v>2025-04-09T18:08:13.280458Z</v>
      </c>
    </row>
    <row r="15" spans="1:31" x14ac:dyDescent="0.25">
      <c r="X15" t="str">
        <v>KXNOBELPEACE-25-DJT</v>
      </c>
      <c r="Y15">
        <v>1032338</v>
      </c>
      <c r="Z15">
        <v>-16</v>
      </c>
      <c r="AA15">
        <v>1456</v>
      </c>
      <c r="AB15">
        <v>18518</v>
      </c>
      <c r="AC15">
        <v>0</v>
      </c>
      <c r="AD15">
        <v>0</v>
      </c>
      <c r="AE15" t="str">
        <v>2025-04-08T17:53:41.397741Z</v>
      </c>
    </row>
    <row r="16" spans="1:31" x14ac:dyDescent="0.25">
      <c r="X16" t="str">
        <v>KXNOBELPEACE-25-JA</v>
      </c>
      <c r="Y16">
        <v>276</v>
      </c>
      <c r="Z16">
        <v>-3</v>
      </c>
      <c r="AA16">
        <v>276</v>
      </c>
      <c r="AB16">
        <v>0</v>
      </c>
      <c r="AC16">
        <v>0</v>
      </c>
      <c r="AD16">
        <v>0</v>
      </c>
      <c r="AE16" t="str">
        <v>2025-02-20T13:14:09.07897Z</v>
      </c>
    </row>
    <row r="17" spans="1:31" x14ac:dyDescent="0.25">
      <c r="A17" t="s">
        <v>17</v>
      </c>
      <c r="B17" t="s">
        <v>15</v>
      </c>
      <c r="X17" t="str">
        <v>KXEXPAND-26</v>
      </c>
      <c r="Y17">
        <v>820032</v>
      </c>
      <c r="Z17">
        <v>-2528</v>
      </c>
      <c r="AA17">
        <v>242586</v>
      </c>
      <c r="AB17">
        <v>9754</v>
      </c>
      <c r="AC17">
        <v>3608</v>
      </c>
      <c r="AD17">
        <v>0</v>
      </c>
      <c r="AE17" t="str">
        <v>2025-03-27T19:10:44.127655Z</v>
      </c>
    </row>
    <row r="18" spans="1:31" x14ac:dyDescent="0.25">
      <c r="A18" t="str" cm="1">
        <f t="array" ref="A18:I26">_xll.get_event_markets(B17)</f>
        <v>ticker</v>
      </c>
      <c r="B18" t="str">
        <v>subtitle</v>
      </c>
      <c r="C18" t="str">
        <v>close_time</v>
      </c>
      <c r="D18" t="str">
        <v>yes_bid</v>
      </c>
      <c r="E18" t="str">
        <v>yes_ask</v>
      </c>
      <c r="F18" t="str">
        <v>last_price</v>
      </c>
      <c r="G18" t="str">
        <v>volume_24h</v>
      </c>
      <c r="H18" t="str">
        <v>strike_type</v>
      </c>
      <c r="I18" t="str">
        <v>floor_strike</v>
      </c>
      <c r="J18" t="s">
        <v>18</v>
      </c>
      <c r="K18" t="s">
        <v>19</v>
      </c>
      <c r="L18" t="s">
        <v>24</v>
      </c>
      <c r="M18" t="s">
        <v>20</v>
      </c>
      <c r="N18" t="s">
        <v>25</v>
      </c>
      <c r="O18" t="s">
        <v>37</v>
      </c>
      <c r="X18" t="str">
        <v>KXGOVTCUTS-25-750</v>
      </c>
      <c r="Y18">
        <v>2953</v>
      </c>
      <c r="Z18">
        <v>-25</v>
      </c>
      <c r="AA18">
        <v>2225</v>
      </c>
      <c r="AB18">
        <v>72</v>
      </c>
      <c r="AC18">
        <v>0</v>
      </c>
      <c r="AD18">
        <v>6</v>
      </c>
      <c r="AE18" t="str">
        <v>2025-02-26T19:30:08.478399Z</v>
      </c>
    </row>
    <row r="19" spans="1:31" x14ac:dyDescent="0.25">
      <c r="A19" t="str">
        <v>KXBTCMAXY-25-DEC31-124999.99</v>
      </c>
      <c r="B19" t="str">
        <v>$125,000 or above</v>
      </c>
      <c r="C19" t="str">
        <v>2025-12-31T15:00:00Z</v>
      </c>
      <c r="D19">
        <v>36</v>
      </c>
      <c r="E19">
        <v>37</v>
      </c>
      <c r="F19">
        <v>36</v>
      </c>
      <c r="G19">
        <v>2368</v>
      </c>
      <c r="H19" t="str">
        <v>greater</v>
      </c>
      <c r="I19">
        <v>124999.99</v>
      </c>
      <c r="J19" s="5" t="e" cm="1">
        <f t="array" aca="1" ref="J19" ca="1">_xll.generate_interpolation_function(I19,$D$36:$H$36,$D$35:$H$35)</f>
        <v>#VALUE!</v>
      </c>
      <c r="K19" s="6" t="e" cm="1">
        <f t="array" aca="1" ref="K19" ca="1">_xll.price_one_touch($C$2,I19,J19,$C$3,$C$6)</f>
        <v>#VALUE!</v>
      </c>
      <c r="L19" cm="1">
        <f t="array" ref="L19">_xll.get_position(A19,_xlfn.ANCHORARRAY($X$2))</f>
        <v>1</v>
      </c>
      <c r="M19" t="e" cm="1">
        <f t="array" aca="1" ref="M19" ca="1">_xll.one_touch_delta($C$2,I19,J19,$C$3,$C$6)</f>
        <v>#VALUE!</v>
      </c>
      <c r="N19" t="e">
        <f ca="1">L19*M19</f>
        <v>#VALUE!</v>
      </c>
      <c r="X19" t="str">
        <v>KXGOVTCUTS-25-1</v>
      </c>
      <c r="Y19">
        <v>572</v>
      </c>
      <c r="Z19">
        <v>-11</v>
      </c>
      <c r="AA19">
        <v>572</v>
      </c>
      <c r="AB19">
        <v>0</v>
      </c>
      <c r="AC19">
        <v>0</v>
      </c>
      <c r="AD19">
        <v>0</v>
      </c>
      <c r="AE19" t="str">
        <v>2025-03-08T19:48:48.60921Z</v>
      </c>
    </row>
    <row r="20" spans="1:31" x14ac:dyDescent="0.25">
      <c r="A20" t="str">
        <v>KXBTCMAXY-25-DEC31-149999.99</v>
      </c>
      <c r="B20" t="str">
        <v>$150,000 or above</v>
      </c>
      <c r="C20" t="str">
        <v>2025-12-31T15:00:00Z</v>
      </c>
      <c r="D20">
        <v>22</v>
      </c>
      <c r="E20">
        <v>23</v>
      </c>
      <c r="F20">
        <v>23</v>
      </c>
      <c r="G20">
        <v>787</v>
      </c>
      <c r="H20" t="str">
        <v>greater</v>
      </c>
      <c r="I20">
        <v>149999.99</v>
      </c>
      <c r="J20" s="5" t="e" cm="1">
        <f t="array" aca="1" ref="J20" ca="1">_xll.generate_interpolation_function(I20,$D$36:$H$36,$D$35:$H$35)</f>
        <v>#VALUE!</v>
      </c>
      <c r="K20" s="6" t="e" cm="1">
        <f t="array" aca="1" ref="K20" ca="1">_xll.price_one_touch($C$2,I20,J20,$C$3,$C$6)</f>
        <v>#VALUE!</v>
      </c>
      <c r="L20" cm="1">
        <f t="array" ref="L20">_xll.get_position(A20,_xlfn.ANCHORARRAY($X$2))</f>
        <v>1199</v>
      </c>
      <c r="M20" t="e" cm="1">
        <f t="array" aca="1" ref="M20" ca="1">_xll.one_touch_delta($C$2,I20,J20,$C$3,$C$6)</f>
        <v>#VALUE!</v>
      </c>
      <c r="N20" t="e">
        <f ca="1">L20*M20</f>
        <v>#VALUE!</v>
      </c>
      <c r="X20" t="str">
        <v>KXTIME-25-DT</v>
      </c>
      <c r="Y20">
        <v>1650</v>
      </c>
      <c r="Z20">
        <v>-22</v>
      </c>
      <c r="AA20">
        <v>1650</v>
      </c>
      <c r="AB20">
        <v>0</v>
      </c>
      <c r="AC20">
        <v>0</v>
      </c>
      <c r="AD20">
        <v>0</v>
      </c>
      <c r="AE20" t="str">
        <v>2025-02-26T22:16:50.088515Z</v>
      </c>
    </row>
    <row r="21" spans="1:31" x14ac:dyDescent="0.25">
      <c r="A21" t="str">
        <v>KXBTCMAXY-25-DEC31-159999.99</v>
      </c>
      <c r="B21" t="str">
        <v>$160,000 or above</v>
      </c>
      <c r="C21" t="str">
        <v>2026-01-01T04:59:00Z</v>
      </c>
      <c r="D21">
        <v>18</v>
      </c>
      <c r="E21">
        <v>19</v>
      </c>
      <c r="F21">
        <v>13</v>
      </c>
      <c r="G21">
        <v>0</v>
      </c>
      <c r="H21" t="str">
        <v>greater</v>
      </c>
      <c r="I21">
        <v>159999.99</v>
      </c>
      <c r="J21" s="5" t="e" cm="1">
        <f t="array" aca="1" ref="J21" ca="1">_xll.generate_interpolation_function(I21,$D$36:$H$36,$D$35:$H$35)</f>
        <v>#VALUE!</v>
      </c>
      <c r="K21" s="6" t="e" cm="1">
        <f t="array" aca="1" ref="K21" ca="1">_xll.price_one_touch($C$2,I21,J21,$C$3,$C$6)</f>
        <v>#VALUE!</v>
      </c>
      <c r="L21" cm="1">
        <f t="array" ref="L21">_xll.get_position(A21,_xlfn.ANCHORARRAY($X$2))</f>
        <v>500</v>
      </c>
      <c r="M21" t="e" cm="1">
        <f t="array" aca="1" ref="M21" ca="1">_xll.one_touch_delta($C$2,I21,J21,$C$3,$C$6)</f>
        <v>#VALUE!</v>
      </c>
      <c r="N21" t="e">
        <f ca="1">L21*M21</f>
        <v>#VALUE!</v>
      </c>
      <c r="X21" t="str">
        <v>KXTIME-25-GPT</v>
      </c>
      <c r="Y21">
        <v>95</v>
      </c>
      <c r="Z21">
        <v>-1</v>
      </c>
      <c r="AA21">
        <v>95</v>
      </c>
      <c r="AB21">
        <v>0</v>
      </c>
      <c r="AC21">
        <v>0</v>
      </c>
      <c r="AD21">
        <v>1</v>
      </c>
      <c r="AE21" t="str">
        <v>2025-02-26T03:44:14.890953Z</v>
      </c>
    </row>
    <row r="22" spans="1:31" x14ac:dyDescent="0.25">
      <c r="A22" t="str">
        <v>KXBTCMAXY-25-DEC31-179999.99</v>
      </c>
      <c r="B22" t="str">
        <v>$180,000 or above</v>
      </c>
      <c r="C22" t="str">
        <v>2026-01-01T04:59:00Z</v>
      </c>
      <c r="D22">
        <v>13</v>
      </c>
      <c r="E22">
        <v>14</v>
      </c>
      <c r="F22">
        <v>11</v>
      </c>
      <c r="G22">
        <v>0</v>
      </c>
      <c r="H22" t="str">
        <v>greater</v>
      </c>
      <c r="I22">
        <v>179999.99</v>
      </c>
      <c r="J22" s="5" t="e" cm="1">
        <f t="array" aca="1" ref="J22" ca="1">_xll.generate_interpolation_function(I22,$D$36:$H$36,$D$35:$H$35)</f>
        <v>#VALUE!</v>
      </c>
      <c r="K22" s="6" t="e" cm="1">
        <f t="array" aca="1" ref="K22" ca="1">_xll.price_one_touch($C$2,I22,J22,$C$3,$C$6)</f>
        <v>#VALUE!</v>
      </c>
      <c r="L22" cm="1">
        <f t="array" ref="L22">_xll.get_position(A22,_xlfn.ANCHORARRAY($X$2))</f>
        <v>543</v>
      </c>
      <c r="M22" t="e" cm="1">
        <f t="array" aca="1" ref="M22" ca="1">_xll.one_touch_delta($C$2,I22,J22,$C$3,$C$6)</f>
        <v>#VALUE!</v>
      </c>
      <c r="N22" t="e">
        <f ca="1">L22*M22</f>
        <v>#VALUE!</v>
      </c>
      <c r="X22" t="str">
        <v>KXDCEILEND-26</v>
      </c>
      <c r="Y22">
        <v>23701</v>
      </c>
      <c r="Z22">
        <v>-16</v>
      </c>
      <c r="AA22">
        <v>1280</v>
      </c>
      <c r="AB22">
        <v>1179</v>
      </c>
      <c r="AC22">
        <v>0</v>
      </c>
      <c r="AD22">
        <v>0</v>
      </c>
      <c r="AE22" t="str">
        <v>2025-02-09T18:51:25.294953Z</v>
      </c>
    </row>
    <row r="23" spans="1:31" x14ac:dyDescent="0.25">
      <c r="A23" t="str">
        <v>KXBTCMAXY-25-DEC31-199999.99</v>
      </c>
      <c r="B23" t="str">
        <v>$200,000 or above</v>
      </c>
      <c r="C23" t="str">
        <v>2026-01-01T04:59:00Z</v>
      </c>
      <c r="D23">
        <v>11</v>
      </c>
      <c r="E23">
        <v>13</v>
      </c>
      <c r="F23">
        <v>11</v>
      </c>
      <c r="G23">
        <v>1835</v>
      </c>
      <c r="H23" t="str">
        <v>greater</v>
      </c>
      <c r="I23">
        <v>199999.99</v>
      </c>
      <c r="J23" s="5" t="e" cm="1">
        <f t="array" aca="1" ref="J23" ca="1">_xll.generate_interpolation_function(I23,$D$36:$H$36,$D$35:$H$35)</f>
        <v>#VALUE!</v>
      </c>
      <c r="K23" s="6" t="e" cm="1">
        <f t="array" aca="1" ref="K23" ca="1">_xll.price_one_touch($C$2,I23,J23,$C$3,$C$6)</f>
        <v>#VALUE!</v>
      </c>
      <c r="L23" cm="1">
        <f t="array" ref="L23">_xll.get_position(A23,_xlfn.ANCHORARRAY($X$2))</f>
        <v>-2152</v>
      </c>
      <c r="M23" t="e" cm="1">
        <f t="array" aca="1" ref="M23" ca="1">_xll.one_touch_delta($C$2,I23,J23,$C$3,$C$6)</f>
        <v>#VALUE!</v>
      </c>
      <c r="N23" t="e">
        <f ca="1">L23*M23</f>
        <v>#VALUE!</v>
      </c>
    </row>
    <row r="24" spans="1:31" x14ac:dyDescent="0.25">
      <c r="A24" t="str">
        <v>KXBTCMAXY-25-DEC31-249999.99</v>
      </c>
      <c r="B24" t="str">
        <v>$250,000 or above</v>
      </c>
      <c r="C24" t="str">
        <v>2026-01-01T04:59:00Z</v>
      </c>
      <c r="D24">
        <v>7</v>
      </c>
      <c r="E24">
        <v>8</v>
      </c>
      <c r="F24">
        <v>7</v>
      </c>
      <c r="G24">
        <v>2398</v>
      </c>
      <c r="H24" t="str">
        <v>greater</v>
      </c>
      <c r="I24">
        <v>249999.99</v>
      </c>
      <c r="J24" s="5" t="e" cm="1">
        <f t="array" aca="1" ref="J24" ca="1">_xll.generate_interpolation_function(I24,$D$36:$H$36,$D$35:$H$35)</f>
        <v>#VALUE!</v>
      </c>
      <c r="K24" s="6" t="e" cm="1">
        <f t="array" aca="1" ref="K24" ca="1">_xll.price_one_touch($C$2,I24,J24,$C$3,$C$6)</f>
        <v>#VALUE!</v>
      </c>
      <c r="L24" cm="1">
        <f t="array" ref="L24">_xll.get_position(A24,_xlfn.ANCHORARRAY($X$2))</f>
        <v>-4539</v>
      </c>
      <c r="M24" t="e" cm="1">
        <f t="array" aca="1" ref="M24" ca="1">_xll.one_touch_delta($C$2,I24,J24,$C$3,$C$6)</f>
        <v>#VALUE!</v>
      </c>
      <c r="N24" t="e">
        <f ca="1">L24*M24</f>
        <v>#VALUE!</v>
      </c>
    </row>
    <row r="25" spans="1:31" x14ac:dyDescent="0.25">
      <c r="A25" t="str">
        <v>KXBTCMAXY-25-DEC31-299999.99</v>
      </c>
      <c r="B25" t="str">
        <v>$300,000 or above</v>
      </c>
      <c r="C25" t="str">
        <v>2026-01-01T04:59:00Z</v>
      </c>
      <c r="D25">
        <v>6</v>
      </c>
      <c r="E25">
        <v>7</v>
      </c>
      <c r="F25">
        <v>6</v>
      </c>
      <c r="G25">
        <v>252</v>
      </c>
      <c r="H25" t="str">
        <v>greater</v>
      </c>
      <c r="I25">
        <v>299999.99</v>
      </c>
      <c r="J25" s="5" t="e" cm="1">
        <f t="array" aca="1" ref="J25" ca="1">_xll.generate_interpolation_function(I25,$D$36:$H$36,$D$35:$H$35)</f>
        <v>#VALUE!</v>
      </c>
      <c r="K25" s="6" t="e" cm="1">
        <f t="array" aca="1" ref="K25" ca="1">_xll.price_one_touch($C$2,I25,J25,$C$3,$C$6)</f>
        <v>#VALUE!</v>
      </c>
      <c r="L25" cm="1">
        <f t="array" ref="L25">_xll.get_position(A25,_xlfn.ANCHORARRAY($X$2))</f>
        <v>-5780</v>
      </c>
      <c r="M25" t="e" cm="1">
        <f t="array" aca="1" ref="M25" ca="1">_xll.one_touch_delta($C$2,I25,J25,$C$3,$C$6)</f>
        <v>#VALUE!</v>
      </c>
      <c r="N25" t="e">
        <f ca="1">L25*M25</f>
        <v>#VALUE!</v>
      </c>
    </row>
    <row r="26" spans="1:31" x14ac:dyDescent="0.25">
      <c r="A26" t="str">
        <v>KXBTCMAXY-25-DEC31-499999.99</v>
      </c>
      <c r="B26" t="str">
        <v>$500,000 or above</v>
      </c>
      <c r="C26" t="str">
        <v>2026-01-01T04:59:00Z</v>
      </c>
      <c r="D26">
        <v>3</v>
      </c>
      <c r="E26">
        <v>4</v>
      </c>
      <c r="F26">
        <v>4</v>
      </c>
      <c r="G26">
        <v>0</v>
      </c>
      <c r="H26" t="str">
        <v>greater</v>
      </c>
      <c r="I26">
        <v>499999.99</v>
      </c>
      <c r="J26" s="5" t="e" cm="1">
        <f t="array" aca="1" ref="J26" ca="1">_xll.generate_interpolation_function(I26,$D$36:$H$36,$D$35:$H$35)</f>
        <v>#VALUE!</v>
      </c>
      <c r="K26" s="6" t="e" cm="1">
        <f t="array" aca="1" ref="K26" ca="1">_xll.price_one_touch($C$2,I26,J26,$C$3,$C$6)</f>
        <v>#VALUE!</v>
      </c>
      <c r="L26" cm="1">
        <f t="array" ref="L26">_xll.get_position(A26,_xlfn.ANCHORARRAY($X$2))</f>
        <v>-2052</v>
      </c>
      <c r="M26" t="e" cm="1">
        <f t="array" aca="1" ref="M26" ca="1">_xll.one_touch_delta($C$2,I26,J26,$C$3,$C$6)</f>
        <v>#VALUE!</v>
      </c>
      <c r="N26" t="e">
        <f ca="1">L26*M26</f>
        <v>#VALUE!</v>
      </c>
    </row>
    <row r="32" spans="1:31" x14ac:dyDescent="0.25">
      <c r="C32" t="s">
        <v>38</v>
      </c>
      <c r="D32" t="s">
        <v>28</v>
      </c>
      <c r="E32" t="s">
        <v>27</v>
      </c>
      <c r="F32" t="s">
        <v>2</v>
      </c>
      <c r="G32" t="s">
        <v>26</v>
      </c>
      <c r="H32" t="s">
        <v>30</v>
      </c>
    </row>
    <row r="33" spans="2:8" x14ac:dyDescent="0.25">
      <c r="C33" t="s">
        <v>32</v>
      </c>
      <c r="D33">
        <v>-0.05</v>
      </c>
      <c r="E33">
        <v>-0.25</v>
      </c>
      <c r="F33">
        <v>0.5</v>
      </c>
      <c r="G33">
        <v>0.25</v>
      </c>
      <c r="H33">
        <v>0.05</v>
      </c>
    </row>
    <row r="34" spans="2:8" x14ac:dyDescent="0.25">
      <c r="C34" t="s">
        <v>33</v>
      </c>
      <c r="D34" t="s">
        <v>34</v>
      </c>
      <c r="E34" t="s">
        <v>34</v>
      </c>
      <c r="F34" t="s">
        <v>35</v>
      </c>
      <c r="G34" t="s">
        <v>35</v>
      </c>
      <c r="H34" t="s">
        <v>35</v>
      </c>
    </row>
    <row r="35" spans="2:8" x14ac:dyDescent="0.25">
      <c r="C35" t="s">
        <v>29</v>
      </c>
      <c r="D35" s="3">
        <v>0.85</v>
      </c>
      <c r="E35" s="3">
        <v>0.65</v>
      </c>
      <c r="F35" s="3">
        <v>0.55000000000000004</v>
      </c>
      <c r="G35" s="3">
        <v>0.65</v>
      </c>
      <c r="H35" s="3">
        <v>0.75</v>
      </c>
    </row>
    <row r="36" spans="2:8" x14ac:dyDescent="0.25">
      <c r="C36" t="s">
        <v>31</v>
      </c>
      <c r="D36" t="e" cm="1">
        <f t="array" aca="1" ref="D36" ca="1">_xll.find_strike(D33,D35,$C$6,$C$2,$C$3,0,D34)</f>
        <v>#VALUE!</v>
      </c>
      <c r="E36" t="e" cm="1">
        <f t="array" aca="1" ref="E36" ca="1">_xll.find_strike(E33,E35,$C$6,$C$2,$C$3,0,E34)</f>
        <v>#VALUE!</v>
      </c>
      <c r="F36" t="e" cm="1">
        <f t="array" aca="1" ref="F36" ca="1">_xll.find_strike(F33,F35,$C$6,$C$2,$C$3,0,F34)</f>
        <v>#VALUE!</v>
      </c>
      <c r="G36" t="e" cm="1">
        <f t="array" aca="1" ref="G36" ca="1">_xll.find_strike(G33,G35,$C$6,$C$2,$C$3,0,G34)</f>
        <v>#VALUE!</v>
      </c>
      <c r="H36" t="e" cm="1">
        <f t="array" aca="1" ref="H36" ca="1">_xll.find_strike(H33,H35,$C$6,$C$2,$C$3,0,H34)</f>
        <v>#VALUE!</v>
      </c>
    </row>
    <row r="41" spans="2:8" x14ac:dyDescent="0.25">
      <c r="B41" t="s">
        <v>36</v>
      </c>
    </row>
    <row r="42" spans="2:8" x14ac:dyDescent="0.25">
      <c r="B42">
        <f>50000</f>
        <v>50000</v>
      </c>
      <c r="C42" t="e" cm="1">
        <f t="array" aca="1" ref="C42" ca="1">_xll.generate_interpolation_function(B42,$D$36:$H$36,$D$35:$H$35)</f>
        <v>#VALUE!</v>
      </c>
    </row>
    <row r="43" spans="2:8" x14ac:dyDescent="0.25">
      <c r="B43">
        <f>B42+10000</f>
        <v>60000</v>
      </c>
      <c r="C43" t="e" cm="1">
        <f t="array" aca="1" ref="C43" ca="1">_xll.generate_interpolation_function(B43,$D$36:$H$36,$D$35:$H$35)</f>
        <v>#VALUE!</v>
      </c>
    </row>
    <row r="44" spans="2:8" x14ac:dyDescent="0.25">
      <c r="B44">
        <f t="shared" ref="B44:B66" si="0">B43+10000</f>
        <v>70000</v>
      </c>
      <c r="C44" t="e" cm="1">
        <f t="array" aca="1" ref="C44" ca="1">_xll.generate_interpolation_function(B44,$D$36:$H$36,$D$35:$H$35)</f>
        <v>#VALUE!</v>
      </c>
    </row>
    <row r="45" spans="2:8" x14ac:dyDescent="0.25">
      <c r="B45">
        <f t="shared" si="0"/>
        <v>80000</v>
      </c>
      <c r="C45" t="e" cm="1">
        <f t="array" aca="1" ref="C45" ca="1">_xll.generate_interpolation_function(B45,$D$36:$H$36,$D$35:$H$35)</f>
        <v>#VALUE!</v>
      </c>
    </row>
    <row r="46" spans="2:8" x14ac:dyDescent="0.25">
      <c r="B46">
        <f t="shared" si="0"/>
        <v>90000</v>
      </c>
      <c r="C46" t="e" cm="1">
        <f t="array" aca="1" ref="C46" ca="1">_xll.generate_interpolation_function(B46,$D$36:$H$36,$D$35:$H$35)</f>
        <v>#VALUE!</v>
      </c>
    </row>
    <row r="47" spans="2:8" x14ac:dyDescent="0.25">
      <c r="B47">
        <f t="shared" si="0"/>
        <v>100000</v>
      </c>
      <c r="C47" t="e" cm="1">
        <f t="array" aca="1" ref="C47" ca="1">_xll.generate_interpolation_function(B47,$D$36:$H$36,$D$35:$H$35)</f>
        <v>#VALUE!</v>
      </c>
    </row>
    <row r="48" spans="2:8" x14ac:dyDescent="0.25">
      <c r="B48">
        <f t="shared" si="0"/>
        <v>110000</v>
      </c>
      <c r="C48" t="e" cm="1">
        <f t="array" aca="1" ref="C48" ca="1">_xll.generate_interpolation_function(B48,$D$36:$H$36,$D$35:$H$35)</f>
        <v>#VALUE!</v>
      </c>
    </row>
    <row r="49" spans="2:3" x14ac:dyDescent="0.25">
      <c r="B49">
        <f t="shared" si="0"/>
        <v>120000</v>
      </c>
      <c r="C49" t="e" cm="1">
        <f t="array" aca="1" ref="C49" ca="1">_xll.generate_interpolation_function(B49,$D$36:$H$36,$D$35:$H$35)</f>
        <v>#VALUE!</v>
      </c>
    </row>
    <row r="50" spans="2:3" x14ac:dyDescent="0.25">
      <c r="B50">
        <f t="shared" si="0"/>
        <v>130000</v>
      </c>
      <c r="C50" t="e" cm="1">
        <f t="array" aca="1" ref="C50" ca="1">_xll.generate_interpolation_function(B50,$D$36:$H$36,$D$35:$H$35)</f>
        <v>#VALUE!</v>
      </c>
    </row>
    <row r="51" spans="2:3" x14ac:dyDescent="0.25">
      <c r="B51">
        <f t="shared" si="0"/>
        <v>140000</v>
      </c>
      <c r="C51" t="e" cm="1">
        <f t="array" aca="1" ref="C51" ca="1">_xll.generate_interpolation_function(B51,$D$36:$H$36,$D$35:$H$35)</f>
        <v>#VALUE!</v>
      </c>
    </row>
    <row r="52" spans="2:3" x14ac:dyDescent="0.25">
      <c r="B52">
        <f t="shared" si="0"/>
        <v>150000</v>
      </c>
      <c r="C52" t="e" cm="1">
        <f t="array" aca="1" ref="C52" ca="1">_xll.generate_interpolation_function(B52,$D$36:$H$36,$D$35:$H$35)</f>
        <v>#VALUE!</v>
      </c>
    </row>
    <row r="53" spans="2:3" x14ac:dyDescent="0.25">
      <c r="B53">
        <f t="shared" si="0"/>
        <v>160000</v>
      </c>
      <c r="C53" t="e" cm="1">
        <f t="array" aca="1" ref="C53" ca="1">_xll.generate_interpolation_function(B53,$D$36:$H$36,$D$35:$H$35)</f>
        <v>#VALUE!</v>
      </c>
    </row>
    <row r="54" spans="2:3" x14ac:dyDescent="0.25">
      <c r="B54">
        <f t="shared" si="0"/>
        <v>170000</v>
      </c>
      <c r="C54" t="e" cm="1">
        <f t="array" aca="1" ref="C54" ca="1">_xll.generate_interpolation_function(B54,$D$36:$H$36,$D$35:$H$35)</f>
        <v>#VALUE!</v>
      </c>
    </row>
    <row r="55" spans="2:3" x14ac:dyDescent="0.25">
      <c r="B55">
        <f t="shared" si="0"/>
        <v>180000</v>
      </c>
      <c r="C55" t="e" cm="1">
        <f t="array" aca="1" ref="C55" ca="1">_xll.generate_interpolation_function(B55,$D$36:$H$36,$D$35:$H$35)</f>
        <v>#VALUE!</v>
      </c>
    </row>
    <row r="56" spans="2:3" x14ac:dyDescent="0.25">
      <c r="B56">
        <f t="shared" si="0"/>
        <v>190000</v>
      </c>
      <c r="C56" t="e" cm="1">
        <f t="array" aca="1" ref="C56" ca="1">_xll.generate_interpolation_function(B56,$D$36:$H$36,$D$35:$H$35)</f>
        <v>#VALUE!</v>
      </c>
    </row>
    <row r="57" spans="2:3" x14ac:dyDescent="0.25">
      <c r="B57">
        <f t="shared" si="0"/>
        <v>200000</v>
      </c>
      <c r="C57" t="e" cm="1">
        <f t="array" aca="1" ref="C57" ca="1">_xll.generate_interpolation_function(B57,$D$36:$H$36,$D$35:$H$35)</f>
        <v>#VALUE!</v>
      </c>
    </row>
    <row r="58" spans="2:3" x14ac:dyDescent="0.25">
      <c r="B58">
        <f t="shared" si="0"/>
        <v>210000</v>
      </c>
      <c r="C58" t="e" cm="1">
        <f t="array" aca="1" ref="C58" ca="1">_xll.generate_interpolation_function(B58,$D$36:$H$36,$D$35:$H$35)</f>
        <v>#VALUE!</v>
      </c>
    </row>
    <row r="59" spans="2:3" x14ac:dyDescent="0.25">
      <c r="B59">
        <f t="shared" si="0"/>
        <v>220000</v>
      </c>
      <c r="C59" t="e" cm="1">
        <f t="array" aca="1" ref="C59" ca="1">_xll.generate_interpolation_function(B59,$D$36:$H$36,$D$35:$H$35)</f>
        <v>#VALUE!</v>
      </c>
    </row>
    <row r="60" spans="2:3" x14ac:dyDescent="0.25">
      <c r="B60">
        <f t="shared" si="0"/>
        <v>230000</v>
      </c>
      <c r="C60" t="e" cm="1">
        <f t="array" aca="1" ref="C60" ca="1">_xll.generate_interpolation_function(B60,$D$36:$H$36,$D$35:$H$35)</f>
        <v>#VALUE!</v>
      </c>
    </row>
    <row r="61" spans="2:3" x14ac:dyDescent="0.25">
      <c r="B61">
        <f t="shared" si="0"/>
        <v>240000</v>
      </c>
      <c r="C61" t="e" cm="1">
        <f t="array" aca="1" ref="C61" ca="1">_xll.generate_interpolation_function(B61,$D$36:$H$36,$D$35:$H$35)</f>
        <v>#VALUE!</v>
      </c>
    </row>
    <row r="62" spans="2:3" x14ac:dyDescent="0.25">
      <c r="B62">
        <f t="shared" si="0"/>
        <v>250000</v>
      </c>
      <c r="C62" t="e" cm="1">
        <f t="array" aca="1" ref="C62" ca="1">_xll.generate_interpolation_function(B62,$D$36:$H$36,$D$35:$H$35)</f>
        <v>#VALUE!</v>
      </c>
    </row>
    <row r="63" spans="2:3" x14ac:dyDescent="0.25">
      <c r="B63">
        <f t="shared" si="0"/>
        <v>260000</v>
      </c>
      <c r="C63" t="e" cm="1">
        <f t="array" aca="1" ref="C63" ca="1">_xll.generate_interpolation_function(B63,$D$36:$H$36,$D$35:$H$35)</f>
        <v>#VALUE!</v>
      </c>
    </row>
    <row r="64" spans="2:3" x14ac:dyDescent="0.25">
      <c r="B64">
        <f t="shared" si="0"/>
        <v>270000</v>
      </c>
      <c r="C64" t="e" cm="1">
        <f t="array" aca="1" ref="C64" ca="1">_xll.generate_interpolation_function(B64,$D$36:$H$36,$D$35:$H$35)</f>
        <v>#VALUE!</v>
      </c>
    </row>
    <row r="65" spans="2:3" x14ac:dyDescent="0.25">
      <c r="B65">
        <f t="shared" si="0"/>
        <v>280000</v>
      </c>
      <c r="C65" t="e" cm="1">
        <f t="array" aca="1" ref="C65" ca="1">_xll.generate_interpolation_function(B65,$D$36:$H$36,$D$35:$H$35)</f>
        <v>#VALUE!</v>
      </c>
    </row>
    <row r="66" spans="2:3" x14ac:dyDescent="0.25">
      <c r="B66">
        <f t="shared" si="0"/>
        <v>290000</v>
      </c>
      <c r="C66" t="e" cm="1">
        <f t="array" aca="1" ref="C66" ca="1">_xll.generate_interpolation_function(B66,$D$36:$H$36,$D$35:$H$35)</f>
        <v>#VALUE!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25E6-40DA-468A-B7C0-2BBDA891B1EA}">
  <dimension ref="A1:A41"/>
  <sheetViews>
    <sheetView workbookViewId="0">
      <selection activeCell="A40" sqref="A40:A41"/>
    </sheetView>
  </sheetViews>
  <sheetFormatPr defaultRowHeight="15" x14ac:dyDescent="0.25"/>
  <cols>
    <col min="1" max="1" width="27.85546875" bestFit="1" customWidth="1"/>
    <col min="2" max="2" width="19.85546875" bestFit="1" customWidth="1"/>
    <col min="3" max="3" width="28.85546875" bestFit="1" customWidth="1"/>
    <col min="4" max="4" width="78.7109375" bestFit="1" customWidth="1"/>
    <col min="5" max="5" width="37" customWidth="1"/>
    <col min="6" max="6" width="18.42578125" bestFit="1" customWidth="1"/>
    <col min="7" max="7" width="22.42578125" bestFit="1" customWidth="1"/>
    <col min="10" max="10" width="19.85546875" bestFit="1" customWidth="1"/>
    <col min="11" max="11" width="23.5703125" bestFit="1" customWidth="1"/>
    <col min="12" max="12" width="19.85546875" bestFit="1" customWidth="1"/>
    <col min="14" max="14" width="24.28515625" bestFit="1" customWidth="1"/>
    <col min="16" max="16" width="20" bestFit="1" customWidth="1"/>
  </cols>
  <sheetData>
    <row r="1" spans="1:1" x14ac:dyDescent="0.25">
      <c r="A1" t="e" cm="1">
        <f t="array" aca="1" ref="A1" ca="1">_xll.get_events("Crypto")</f>
        <v>#VALUE!</v>
      </c>
    </row>
    <row r="39" spans="1:1" x14ac:dyDescent="0.25">
      <c r="A39" t="s">
        <v>13</v>
      </c>
    </row>
    <row r="40" spans="1:1" x14ac:dyDescent="0.25">
      <c r="A40" t="s">
        <v>14</v>
      </c>
    </row>
    <row r="41" spans="1:1" x14ac:dyDescent="0.25">
      <c r="A41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0AF7-CA45-400B-8C64-8BD3E46FC780}">
  <dimension ref="A1:N7"/>
  <sheetViews>
    <sheetView workbookViewId="0">
      <selection activeCell="G1" sqref="G1"/>
    </sheetView>
  </sheetViews>
  <sheetFormatPr defaultRowHeight="15" x14ac:dyDescent="0.25"/>
  <sheetData>
    <row r="1" spans="1:14" x14ac:dyDescent="0.25">
      <c r="G1" t="s">
        <v>2</v>
      </c>
    </row>
    <row r="2" spans="1:14" x14ac:dyDescent="0.25">
      <c r="B2" t="e">
        <f ca="1">C2-500</f>
        <v>#VALUE!</v>
      </c>
      <c r="C2" t="e">
        <f ca="1">D2-500</f>
        <v>#VALUE!</v>
      </c>
      <c r="D2" t="e">
        <f ca="1">E2-500</f>
        <v>#VALUE!</v>
      </c>
      <c r="E2" t="e">
        <f ca="1">F2-500</f>
        <v>#VALUE!</v>
      </c>
      <c r="F2" t="e">
        <f ca="1">G2-500</f>
        <v>#VALUE!</v>
      </c>
      <c r="G2" t="e">
        <f ca="1">Sheet1!B2</f>
        <v>#VALUE!</v>
      </c>
      <c r="H2" t="e">
        <f t="shared" ref="H2:N2" ca="1" si="0">G2+500</f>
        <v>#VALUE!</v>
      </c>
      <c r="I2" t="e">
        <f t="shared" ca="1" si="0"/>
        <v>#VALUE!</v>
      </c>
      <c r="J2" t="e">
        <f t="shared" ca="1" si="0"/>
        <v>#VALUE!</v>
      </c>
      <c r="K2" t="e">
        <f t="shared" ca="1" si="0"/>
        <v>#VALUE!</v>
      </c>
      <c r="L2" t="e">
        <f t="shared" ca="1" si="0"/>
        <v>#VALUE!</v>
      </c>
      <c r="M2" t="e">
        <f t="shared" ca="1" si="0"/>
        <v>#VALUE!</v>
      </c>
      <c r="N2" t="e">
        <f t="shared" ca="1" si="0"/>
        <v>#VALUE!</v>
      </c>
    </row>
    <row r="3" spans="1:14" x14ac:dyDescent="0.25">
      <c r="A3" t="s">
        <v>4</v>
      </c>
      <c r="B3" s="3">
        <v>0.5</v>
      </c>
      <c r="C3" s="3">
        <v>0.5</v>
      </c>
      <c r="D3" s="3">
        <v>0.5</v>
      </c>
      <c r="E3" s="3">
        <v>0.5</v>
      </c>
      <c r="F3" s="3">
        <v>0.5</v>
      </c>
      <c r="G3" s="3">
        <v>0.5</v>
      </c>
      <c r="H3" s="3">
        <v>0.5</v>
      </c>
      <c r="I3" s="3">
        <v>0.5</v>
      </c>
      <c r="J3" s="3">
        <v>0.5</v>
      </c>
      <c r="K3" s="3">
        <v>0.5</v>
      </c>
      <c r="L3" s="3">
        <v>0.5</v>
      </c>
      <c r="M3" s="3">
        <v>0.5</v>
      </c>
      <c r="N3" s="3">
        <v>0.5</v>
      </c>
    </row>
    <row r="4" spans="1:14" x14ac:dyDescent="0.25">
      <c r="A4" t="s">
        <v>5</v>
      </c>
      <c r="B4" s="3">
        <v>0.5</v>
      </c>
      <c r="C4" s="3">
        <v>0.5</v>
      </c>
      <c r="D4" s="3">
        <v>0.5</v>
      </c>
      <c r="E4" s="3">
        <v>0.5</v>
      </c>
      <c r="F4" s="3">
        <v>0.5</v>
      </c>
      <c r="G4" s="3">
        <v>0.5</v>
      </c>
      <c r="H4" s="3">
        <v>0.5</v>
      </c>
      <c r="I4" s="3">
        <v>0.5</v>
      </c>
      <c r="J4" s="3">
        <v>0.5</v>
      </c>
      <c r="K4" s="3">
        <v>0.5</v>
      </c>
      <c r="L4" s="3">
        <v>0.5</v>
      </c>
      <c r="M4" s="3">
        <v>0.5</v>
      </c>
      <c r="N4" s="3">
        <v>0.5</v>
      </c>
    </row>
    <row r="5" spans="1:14" x14ac:dyDescent="0.25">
      <c r="A5" t="s">
        <v>6</v>
      </c>
      <c r="B5" s="3">
        <v>0.5</v>
      </c>
      <c r="C5" s="3">
        <v>0.5</v>
      </c>
      <c r="D5" s="3">
        <v>0.5</v>
      </c>
      <c r="E5" s="3">
        <v>0.5</v>
      </c>
      <c r="F5" s="3">
        <v>0.5</v>
      </c>
      <c r="G5" s="3">
        <v>0.5</v>
      </c>
      <c r="H5" s="3">
        <v>0.5</v>
      </c>
      <c r="I5" s="3">
        <v>0.5</v>
      </c>
      <c r="J5" s="3">
        <v>0.5</v>
      </c>
      <c r="K5" s="3">
        <v>0.5</v>
      </c>
      <c r="L5" s="3">
        <v>0.5</v>
      </c>
      <c r="M5" s="3">
        <v>0.5</v>
      </c>
      <c r="N5" s="3">
        <v>0.5</v>
      </c>
    </row>
    <row r="6" spans="1:14" x14ac:dyDescent="0.25">
      <c r="A6" t="s">
        <v>7</v>
      </c>
      <c r="B6" s="3">
        <v>0.5</v>
      </c>
      <c r="C6" s="3">
        <v>0.5</v>
      </c>
      <c r="D6" s="3">
        <v>0.5</v>
      </c>
      <c r="E6" s="3">
        <v>0.5</v>
      </c>
      <c r="F6" s="3">
        <v>0.5</v>
      </c>
      <c r="G6" s="3">
        <v>0.5</v>
      </c>
      <c r="H6" s="3">
        <v>0.5</v>
      </c>
      <c r="I6" s="3">
        <v>0.5</v>
      </c>
      <c r="J6" s="3">
        <v>0.5</v>
      </c>
      <c r="K6" s="3">
        <v>0.5</v>
      </c>
      <c r="L6" s="3">
        <v>0.5</v>
      </c>
      <c r="M6" s="3">
        <v>0.5</v>
      </c>
      <c r="N6" s="3">
        <v>0.5</v>
      </c>
    </row>
    <row r="7" spans="1:14" x14ac:dyDescent="0.25">
      <c r="A7" t="s">
        <v>8</v>
      </c>
      <c r="B7" s="3">
        <v>0.5</v>
      </c>
      <c r="C7" s="3">
        <v>0.5</v>
      </c>
      <c r="D7" s="3">
        <v>0.5</v>
      </c>
      <c r="E7" s="3">
        <v>0.5</v>
      </c>
      <c r="F7" s="3">
        <v>0.5</v>
      </c>
      <c r="G7" s="3">
        <v>0.5</v>
      </c>
      <c r="H7" s="3">
        <v>0.5</v>
      </c>
      <c r="I7" s="3">
        <v>0.5</v>
      </c>
      <c r="J7" s="3">
        <v>0.5</v>
      </c>
      <c r="K7" s="3">
        <v>0.5</v>
      </c>
      <c r="L7" s="3">
        <v>0.5</v>
      </c>
      <c r="M7" s="3">
        <v>0.5</v>
      </c>
      <c r="N7" s="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markets</vt:lpstr>
      <vt:lpstr>market_&amp;_vol_surface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Reedijk</dc:creator>
  <cp:lastModifiedBy>Jake Reedijk</cp:lastModifiedBy>
  <dcterms:created xsi:type="dcterms:W3CDTF">2024-07-05T23:36:49Z</dcterms:created>
  <dcterms:modified xsi:type="dcterms:W3CDTF">2025-04-13T01:58:12Z</dcterms:modified>
</cp:coreProperties>
</file>